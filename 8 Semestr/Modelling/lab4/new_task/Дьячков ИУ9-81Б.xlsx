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xr:revisionPtr revIDLastSave="0" documentId="8_{61A14303-6D6D-444A-BF6B-CE2A21BB4645}" xr6:coauthVersionLast="47" xr6:coauthVersionMax="47" xr10:uidLastSave="{00000000-0000-0000-0000-000000000000}"/>
  <bookViews>
    <workbookView xWindow="240" yWindow="30" windowWidth="26700" windowHeight="9345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2" i="2"/>
  <c r="P4" i="2"/>
  <c r="P5" i="2"/>
  <c r="S7" i="2"/>
  <c r="P11" i="2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P6" i="2" l="1"/>
  <c r="P7" i="2" s="1"/>
  <c r="P12" i="2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P4" i="1"/>
  <c r="S7" i="1"/>
  <c r="P5" i="1"/>
  <c r="P11" i="1" s="1"/>
  <c r="F3" i="1"/>
  <c r="F2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P6" i="1" l="1"/>
  <c r="P7" i="1" s="1"/>
  <c r="P12" i="1" s="1"/>
</calcChain>
</file>

<file path=xl/sharedStrings.xml><?xml version="1.0" encoding="utf-8"?>
<sst xmlns="http://schemas.openxmlformats.org/spreadsheetml/2006/main" count="86" uniqueCount="44">
  <si>
    <t>Рост в см</t>
  </si>
  <si>
    <t>Вес в кг</t>
  </si>
  <si>
    <t>Ранг роста</t>
  </si>
  <si>
    <t>Ранг веса</t>
  </si>
  <si>
    <t>Разница рангов</t>
  </si>
  <si>
    <t>Квадрат разности рангов</t>
  </si>
  <si>
    <t>Нулевая гипотеза:</t>
  </si>
  <si>
    <t>Ранговая корреляционная  связь между признаками незначимая</t>
  </si>
  <si>
    <t xml:space="preserve">Альтернативная гипотеза: </t>
  </si>
  <si>
    <t>Ранговая корреляционная  связь между признаками значимая</t>
  </si>
  <si>
    <t>Число рангов</t>
  </si>
  <si>
    <t>n=</t>
  </si>
  <si>
    <t>Число степеней свободы</t>
  </si>
  <si>
    <t>k=n-2</t>
  </si>
  <si>
    <t>Сумма квадратов разности рангов</t>
  </si>
  <si>
    <t>S=</t>
  </si>
  <si>
    <t>Коэффициент ранговой корреляции Спирмена</t>
  </si>
  <si>
    <t>[1]</t>
  </si>
  <si>
    <t>(</t>
  </si>
  <si>
    <t>)</t>
  </si>
  <si>
    <t>Уровень значимости</t>
  </si>
  <si>
    <t>α=</t>
  </si>
  <si>
    <t>Критическая точка распределения Стьюдента</t>
  </si>
  <si>
    <t>t_кр (α,k)=</t>
  </si>
  <si>
    <t>Критическая точка</t>
  </si>
  <si>
    <t>Проверка:</t>
  </si>
  <si>
    <t xml:space="preserve"> - является основанием отвергнуть нулевую гипотезу о том, что ранговая корреляционная связь между признаками незначимая</t>
  </si>
  <si>
    <t>генерального коэффициента ранговой корреляции Спирмена</t>
  </si>
  <si>
    <t xml:space="preserve">Дополнительная проверка по таблице П10 </t>
  </si>
  <si>
    <t>[2]</t>
  </si>
  <si>
    <t>В таблице приведены верхние критические значения для коэффициента ранговой корреляции Спирмена по уровню значимости  альфа и объема выборки n: ro(alpha,n)</t>
  </si>
  <si>
    <t xml:space="preserve">Указывается, что нижние критические значения равны  - ro(alpha,n). Так как  при проверке нулевой гипотезы против двусторонней альтернативы </t>
  </si>
  <si>
    <t xml:space="preserve">(против предположения как отрицательной, так и положительной связи), величина ro(alpha,n) служит критическим значением уровня 2*alpha </t>
  </si>
  <si>
    <t>для коэффициента ранговой корреляции Спирмена, то есть если вычисленный коэффициент превышает по модулю полученное из П10 значение ro(0,025,17)= 0.485,</t>
  </si>
  <si>
    <t>то можно делать вывод о значимой связи по уровню значимости 0.05. Если проверяется гипотеза против правосторонней альтернативы, то</t>
  </si>
  <si>
    <t>из таблицы П10 выбирается значение ro(0,05,17)= 0.414. Коэффициент корреляции Спирмена  превышает и эту величину, что позволяет сделать вывод</t>
  </si>
  <si>
    <t>о наличии положительной связи признаков по уровню значимости 0.05</t>
  </si>
  <si>
    <t>Результат:</t>
  </si>
  <si>
    <t>Ранговая корреляционная  связь между признаками значимая  положительная по уровню значимости 0.05</t>
  </si>
  <si>
    <t>Список источников</t>
  </si>
  <si>
    <t>1. Гмурман В.Е. Теория вероятностей и математическая статистика: учеб. пособие. - 12-е изд., переработанное. -  М: Высшее образование, 2008. - 479 с., с илл.</t>
  </si>
  <si>
    <t>2. Тюрин Ю.Н, Макаров А. А. Анализ данных на компьютере: учеб. пособие. - Новое издание. -  М: Изд-во МЦМНО, 2026. - 368 с., с илл.</t>
  </si>
  <si>
    <t>согласованные</t>
  </si>
  <si>
    <t>инверсии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</si>
</sst>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0</xdr:rowOff>
    </xdr:from>
    <xdr:to>
      <xdr:col>12</xdr:col>
      <xdr:colOff>485775</xdr:colOff>
      <xdr:row>12</xdr:row>
      <xdr:rowOff>47625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95500"/>
          <a:ext cx="17049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14</xdr:col>
      <xdr:colOff>219075</xdr:colOff>
      <xdr:row>7</xdr:row>
      <xdr:rowOff>66675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143000"/>
          <a:ext cx="828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19050</xdr:colOff>
      <xdr:row>14</xdr:row>
      <xdr:rowOff>19050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476500"/>
          <a:ext cx="628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0</xdr:rowOff>
    </xdr:from>
    <xdr:to>
      <xdr:col>12</xdr:col>
      <xdr:colOff>485775</xdr:colOff>
      <xdr:row>12</xdr:row>
      <xdr:rowOff>47625</xdr:rowOff>
    </xdr:to>
    <xdr:pic>
      <xdr:nvPicPr>
        <xdr:cNvPr id="2" name="Рисунок 8">
          <a:extLst>
            <a:ext uri="{FF2B5EF4-FFF2-40B4-BE49-F238E27FC236}">
              <a16:creationId xmlns:a16="http://schemas.microsoft.com/office/drawing/2014/main" id="{24EAB5E8-6C64-44C1-8CD5-E1855A12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95500"/>
          <a:ext cx="17049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6</xdr:row>
      <xdr:rowOff>0</xdr:rowOff>
    </xdr:from>
    <xdr:to>
      <xdr:col>14</xdr:col>
      <xdr:colOff>219075</xdr:colOff>
      <xdr:row>7</xdr:row>
      <xdr:rowOff>66675</xdr:rowOff>
    </xdr:to>
    <xdr:pic>
      <xdr:nvPicPr>
        <xdr:cNvPr id="3" name="Рисунок 10">
          <a:extLst>
            <a:ext uri="{FF2B5EF4-FFF2-40B4-BE49-F238E27FC236}">
              <a16:creationId xmlns:a16="http://schemas.microsoft.com/office/drawing/2014/main" id="{A0E79E39-2052-4ED3-8E95-636695B5FC22}"/>
            </a:ext>
            <a:ext uri="{147F2762-F138-4A5C-976F-8EAC2B608ADB}">
              <a16:predDERef xmlns:a16="http://schemas.microsoft.com/office/drawing/2014/main" pred="{24EAB5E8-6C64-44C1-8CD5-E1855A12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143000"/>
          <a:ext cx="828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19050</xdr:colOff>
      <xdr:row>14</xdr:row>
      <xdr:rowOff>19050</xdr:rowOff>
    </xdr:to>
    <xdr:pic>
      <xdr:nvPicPr>
        <xdr:cNvPr id="4" name="Рисунок 11">
          <a:extLst>
            <a:ext uri="{FF2B5EF4-FFF2-40B4-BE49-F238E27FC236}">
              <a16:creationId xmlns:a16="http://schemas.microsoft.com/office/drawing/2014/main" id="{FBD0FD63-9D4E-4E21-AE3A-8941A778008B}"/>
            </a:ext>
            <a:ext uri="{147F2762-F138-4A5C-976F-8EAC2B608ADB}">
              <a16:predDERef xmlns:a16="http://schemas.microsoft.com/office/drawing/2014/main" pred="{A0E79E39-2052-4ED3-8E95-636695B5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476500"/>
          <a:ext cx="6286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workbookViewId="0">
      <selection activeCell="D24" sqref="A1:XFD1048576"/>
    </sheetView>
  </sheetViews>
  <sheetFormatPr defaultRowHeight="15"/>
  <cols>
    <col min="3" max="4" width="14.28515625" customWidth="1"/>
    <col min="5" max="5" width="18.8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K1" t="s">
        <v>7</v>
      </c>
    </row>
    <row r="2" spans="1:20">
      <c r="A2">
        <v>170</v>
      </c>
      <c r="B2">
        <v>62</v>
      </c>
      <c r="C2">
        <f t="shared" ref="C2:C18" si="0">_xlfn.RANK.AVG(A2,$A$2:$A$18)</f>
        <v>13.5</v>
      </c>
      <c r="D2">
        <f>_xlfn.RANK.AVG(B2,$B$2:$B$18)</f>
        <v>11.5</v>
      </c>
      <c r="E2">
        <f>C2-D2</f>
        <v>2</v>
      </c>
      <c r="F2">
        <f>E2*E2</f>
        <v>4</v>
      </c>
      <c r="I2" t="s">
        <v>8</v>
      </c>
      <c r="L2" t="s">
        <v>9</v>
      </c>
    </row>
    <row r="3" spans="1:20">
      <c r="A3">
        <v>190</v>
      </c>
      <c r="B3">
        <v>75</v>
      </c>
      <c r="C3">
        <f t="shared" si="0"/>
        <v>1</v>
      </c>
      <c r="D3">
        <f t="shared" ref="D3:D18" si="1">_xlfn.RANK.AVG(B3,$B$2:$B$18)</f>
        <v>2</v>
      </c>
      <c r="E3">
        <f t="shared" ref="E3:E18" si="2">C3-D3</f>
        <v>-1</v>
      </c>
      <c r="F3">
        <f t="shared" ref="F3:F18" si="3">E3*E3</f>
        <v>1</v>
      </c>
    </row>
    <row r="4" spans="1:20">
      <c r="A4">
        <v>175</v>
      </c>
      <c r="B4">
        <v>67</v>
      </c>
      <c r="C4">
        <f t="shared" si="0"/>
        <v>8</v>
      </c>
      <c r="D4">
        <f t="shared" si="1"/>
        <v>9</v>
      </c>
      <c r="E4">
        <f t="shared" si="2"/>
        <v>-1</v>
      </c>
      <c r="F4">
        <f t="shared" si="3"/>
        <v>1</v>
      </c>
      <c r="I4" t="s">
        <v>10</v>
      </c>
      <c r="N4" s="1" t="s">
        <v>11</v>
      </c>
      <c r="P4">
        <f xml:space="preserve"> COUNTA(D2:D18)</f>
        <v>17</v>
      </c>
    </row>
    <row r="5" spans="1:20">
      <c r="A5">
        <v>172</v>
      </c>
      <c r="B5">
        <v>71</v>
      </c>
      <c r="C5">
        <f t="shared" si="0"/>
        <v>11.5</v>
      </c>
      <c r="D5">
        <f t="shared" si="1"/>
        <v>3</v>
      </c>
      <c r="E5">
        <f t="shared" si="2"/>
        <v>8.5</v>
      </c>
      <c r="F5">
        <f t="shared" si="3"/>
        <v>72.25</v>
      </c>
      <c r="I5" t="s">
        <v>12</v>
      </c>
      <c r="N5" s="1" t="s">
        <v>13</v>
      </c>
      <c r="P5">
        <f>P4-2</f>
        <v>15</v>
      </c>
    </row>
    <row r="6" spans="1:20">
      <c r="A6">
        <v>185</v>
      </c>
      <c r="B6">
        <v>62</v>
      </c>
      <c r="C6">
        <f t="shared" si="0"/>
        <v>3</v>
      </c>
      <c r="D6">
        <f t="shared" si="1"/>
        <v>11.5</v>
      </c>
      <c r="E6">
        <f t="shared" si="2"/>
        <v>-8.5</v>
      </c>
      <c r="F6">
        <f t="shared" si="3"/>
        <v>72.25</v>
      </c>
      <c r="I6" t="s">
        <v>14</v>
      </c>
      <c r="N6" s="1" t="s">
        <v>15</v>
      </c>
      <c r="P6">
        <f>SUM(F2:F18)</f>
        <v>416.5</v>
      </c>
    </row>
    <row r="7" spans="1:20">
      <c r="A7">
        <v>172</v>
      </c>
      <c r="B7">
        <v>60</v>
      </c>
      <c r="C7">
        <f t="shared" si="0"/>
        <v>11.5</v>
      </c>
      <c r="D7">
        <f t="shared" si="1"/>
        <v>13.5</v>
      </c>
      <c r="E7">
        <f t="shared" si="2"/>
        <v>-2</v>
      </c>
      <c r="F7">
        <f t="shared" si="3"/>
        <v>4</v>
      </c>
      <c r="I7" t="s">
        <v>16</v>
      </c>
      <c r="O7" s="2" t="s">
        <v>17</v>
      </c>
      <c r="P7">
        <f xml:space="preserve"> 1- (6*P6)/P4/(P4-1)/(P4+1)</f>
        <v>0.48958333333333337</v>
      </c>
      <c r="R7" s="2" t="s">
        <v>18</v>
      </c>
      <c r="S7">
        <f>CORREL(C2:C18,D2:D18)</f>
        <v>0.48612051172293935</v>
      </c>
      <c r="T7" t="s">
        <v>19</v>
      </c>
    </row>
    <row r="8" spans="1:20">
      <c r="A8">
        <v>174</v>
      </c>
      <c r="B8">
        <v>68</v>
      </c>
      <c r="C8">
        <f t="shared" si="0"/>
        <v>10</v>
      </c>
      <c r="D8">
        <f t="shared" si="1"/>
        <v>7.5</v>
      </c>
      <c r="E8">
        <f t="shared" si="2"/>
        <v>2.5</v>
      </c>
      <c r="F8">
        <f t="shared" si="3"/>
        <v>6.25</v>
      </c>
    </row>
    <row r="9" spans="1:20">
      <c r="A9">
        <v>175</v>
      </c>
      <c r="B9">
        <v>52.5</v>
      </c>
      <c r="C9">
        <f t="shared" si="0"/>
        <v>8</v>
      </c>
      <c r="D9">
        <f t="shared" si="1"/>
        <v>16</v>
      </c>
      <c r="E9">
        <f t="shared" si="2"/>
        <v>-8</v>
      </c>
      <c r="F9">
        <f t="shared" si="3"/>
        <v>64</v>
      </c>
    </row>
    <row r="10" spans="1:20">
      <c r="A10">
        <v>180</v>
      </c>
      <c r="B10">
        <v>93</v>
      </c>
      <c r="C10">
        <f t="shared" si="0"/>
        <v>4.5</v>
      </c>
      <c r="D10">
        <f t="shared" si="1"/>
        <v>1</v>
      </c>
      <c r="E10">
        <f t="shared" si="2"/>
        <v>3.5</v>
      </c>
      <c r="F10">
        <f t="shared" si="3"/>
        <v>12.25</v>
      </c>
      <c r="I10" t="s">
        <v>20</v>
      </c>
      <c r="N10" t="s">
        <v>21</v>
      </c>
      <c r="P10">
        <v>0.05</v>
      </c>
    </row>
    <row r="11" spans="1:20">
      <c r="A11">
        <v>161.5</v>
      </c>
      <c r="B11">
        <v>46</v>
      </c>
      <c r="C11">
        <f t="shared" si="0"/>
        <v>16</v>
      </c>
      <c r="D11">
        <f t="shared" si="1"/>
        <v>17</v>
      </c>
      <c r="E11">
        <f t="shared" si="2"/>
        <v>-1</v>
      </c>
      <c r="F11">
        <f t="shared" si="3"/>
        <v>1</v>
      </c>
      <c r="I11" t="s">
        <v>22</v>
      </c>
      <c r="N11" t="s">
        <v>23</v>
      </c>
      <c r="P11">
        <f>TINV(P10, P5)</f>
        <v>2.1314495455597742</v>
      </c>
    </row>
    <row r="12" spans="1:20">
      <c r="A12">
        <v>178</v>
      </c>
      <c r="B12">
        <v>69</v>
      </c>
      <c r="C12">
        <f t="shared" si="0"/>
        <v>6</v>
      </c>
      <c r="D12">
        <f t="shared" si="1"/>
        <v>6</v>
      </c>
      <c r="E12">
        <f t="shared" si="2"/>
        <v>0</v>
      </c>
      <c r="F12">
        <f t="shared" si="3"/>
        <v>0</v>
      </c>
      <c r="I12" t="s">
        <v>24</v>
      </c>
      <c r="N12" s="2" t="s">
        <v>17</v>
      </c>
      <c r="P12">
        <f>P11*(POWER(((1-P7*P7)/P5),1/2))</f>
        <v>0.47987072141012993</v>
      </c>
    </row>
    <row r="13" spans="1:20">
      <c r="A13">
        <v>180</v>
      </c>
      <c r="B13">
        <v>68</v>
      </c>
      <c r="C13">
        <f t="shared" si="0"/>
        <v>4.5</v>
      </c>
      <c r="D13">
        <f t="shared" si="1"/>
        <v>7.5</v>
      </c>
      <c r="E13">
        <f t="shared" si="2"/>
        <v>-3</v>
      </c>
      <c r="F13">
        <f t="shared" si="3"/>
        <v>9</v>
      </c>
    </row>
    <row r="14" spans="1:20">
      <c r="A14">
        <v>165</v>
      </c>
      <c r="B14">
        <v>55</v>
      </c>
      <c r="C14">
        <f t="shared" si="0"/>
        <v>15</v>
      </c>
      <c r="D14">
        <f t="shared" si="1"/>
        <v>15</v>
      </c>
      <c r="E14">
        <f t="shared" si="2"/>
        <v>0</v>
      </c>
      <c r="F14">
        <f t="shared" si="3"/>
        <v>0</v>
      </c>
      <c r="I14" t="s">
        <v>25</v>
      </c>
      <c r="L14" t="s">
        <v>26</v>
      </c>
    </row>
    <row r="15" spans="1:20">
      <c r="A15">
        <v>170</v>
      </c>
      <c r="B15">
        <v>70</v>
      </c>
      <c r="C15">
        <f t="shared" si="0"/>
        <v>13.5</v>
      </c>
      <c r="D15">
        <f t="shared" si="1"/>
        <v>4.5</v>
      </c>
      <c r="E15">
        <f t="shared" si="2"/>
        <v>9</v>
      </c>
      <c r="F15">
        <f t="shared" si="3"/>
        <v>81</v>
      </c>
      <c r="K15" t="s">
        <v>27</v>
      </c>
    </row>
    <row r="16" spans="1:20">
      <c r="A16">
        <v>175</v>
      </c>
      <c r="B16">
        <v>70</v>
      </c>
      <c r="C16">
        <f t="shared" si="0"/>
        <v>8</v>
      </c>
      <c r="D16">
        <f t="shared" si="1"/>
        <v>4.5</v>
      </c>
      <c r="E16">
        <f t="shared" si="2"/>
        <v>3.5</v>
      </c>
      <c r="F16">
        <f t="shared" si="3"/>
        <v>12.25</v>
      </c>
    </row>
    <row r="17" spans="1:14">
      <c r="A17">
        <v>187</v>
      </c>
      <c r="B17">
        <v>64</v>
      </c>
      <c r="C17">
        <f t="shared" si="0"/>
        <v>2</v>
      </c>
      <c r="D17">
        <f t="shared" si="1"/>
        <v>10</v>
      </c>
      <c r="E17">
        <f t="shared" si="2"/>
        <v>-8</v>
      </c>
      <c r="F17">
        <f t="shared" si="3"/>
        <v>64</v>
      </c>
      <c r="I17" t="s">
        <v>28</v>
      </c>
      <c r="N17" s="2" t="s">
        <v>29</v>
      </c>
    </row>
    <row r="18" spans="1:14">
      <c r="A18">
        <v>158</v>
      </c>
      <c r="B18">
        <v>60</v>
      </c>
      <c r="C18">
        <f t="shared" si="0"/>
        <v>17</v>
      </c>
      <c r="D18">
        <f t="shared" si="1"/>
        <v>13.5</v>
      </c>
      <c r="E18">
        <f t="shared" si="2"/>
        <v>3.5</v>
      </c>
      <c r="F18">
        <f t="shared" si="3"/>
        <v>12.25</v>
      </c>
      <c r="I18" t="s">
        <v>30</v>
      </c>
    </row>
    <row r="19" spans="1:14">
      <c r="I19" t="s">
        <v>31</v>
      </c>
    </row>
    <row r="20" spans="1:14">
      <c r="I20" t="s">
        <v>32</v>
      </c>
    </row>
    <row r="21" spans="1:14">
      <c r="I21" t="s">
        <v>33</v>
      </c>
    </row>
    <row r="22" spans="1:14">
      <c r="I22" t="s">
        <v>34</v>
      </c>
    </row>
    <row r="23" spans="1:14">
      <c r="I23" t="s">
        <v>35</v>
      </c>
    </row>
    <row r="24" spans="1:14">
      <c r="I24" t="s">
        <v>36</v>
      </c>
    </row>
    <row r="25" spans="1:14">
      <c r="I25" t="s">
        <v>37</v>
      </c>
      <c r="K25" t="s">
        <v>38</v>
      </c>
    </row>
    <row r="26" spans="1:14">
      <c r="I26" t="s">
        <v>39</v>
      </c>
    </row>
    <row r="28" spans="1:14">
      <c r="I28" t="s">
        <v>40</v>
      </c>
    </row>
    <row r="29" spans="1:14">
      <c r="I29" t="s">
        <v>41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"/>
  <sheetViews>
    <sheetView tabSelected="1" workbookViewId="0">
      <selection activeCell="D2" sqref="D2"/>
    </sheetView>
  </sheetViews>
  <sheetFormatPr defaultRowHeight="15"/>
  <cols>
    <col min="3" max="3" width="14.5703125" bestFit="1" customWidth="1"/>
    <col min="4" max="4" width="9.5703125" bestFit="1" customWidth="1"/>
  </cols>
  <sheetData>
    <row r="1" spans="1:20">
      <c r="A1" t="s">
        <v>0</v>
      </c>
      <c r="B1" t="s">
        <v>1</v>
      </c>
      <c r="C1" t="s">
        <v>42</v>
      </c>
      <c r="D1" t="s">
        <v>43</v>
      </c>
      <c r="E1" t="s">
        <v>4</v>
      </c>
      <c r="F1" t="s">
        <v>5</v>
      </c>
      <c r="I1" t="s">
        <v>6</v>
      </c>
      <c r="K1" t="s">
        <v>7</v>
      </c>
    </row>
    <row r="2" spans="1:20">
      <c r="A2">
        <v>170</v>
      </c>
      <c r="B2">
        <v>62</v>
      </c>
      <c r="C2">
        <f>COUNTIF($B3:$B$18,"&gt;"&amp;B2)</f>
        <v>10</v>
      </c>
      <c r="D2">
        <f>COUNTIF($B3:$B$18,"&lt;"&amp;B2)</f>
        <v>5</v>
      </c>
      <c r="I2" t="s">
        <v>8</v>
      </c>
      <c r="L2" t="s">
        <v>9</v>
      </c>
    </row>
    <row r="3" spans="1:20">
      <c r="A3">
        <v>190</v>
      </c>
      <c r="B3">
        <v>75</v>
      </c>
      <c r="C3">
        <f>COUNTIF($B4:$B$18,"&gt;"&amp;B3)</f>
        <v>1</v>
      </c>
      <c r="D3">
        <f>COUNTIF($B4:$B$18,"&lt;"&amp;B3)</f>
        <v>14</v>
      </c>
    </row>
    <row r="4" spans="1:20">
      <c r="A4">
        <v>175</v>
      </c>
      <c r="B4">
        <v>67</v>
      </c>
      <c r="C4">
        <f>COUNTIF($B5:$B$18,"&gt;"&amp;B4)</f>
        <v>7</v>
      </c>
      <c r="D4">
        <f>COUNTIF($B5:$B$18,"&lt;"&amp;B4)</f>
        <v>7</v>
      </c>
      <c r="I4" t="s">
        <v>10</v>
      </c>
      <c r="N4" s="1" t="s">
        <v>11</v>
      </c>
      <c r="P4">
        <f xml:space="preserve"> COUNTA(D2:D18)</f>
        <v>17</v>
      </c>
    </row>
    <row r="5" spans="1:20">
      <c r="A5">
        <v>172</v>
      </c>
      <c r="B5">
        <v>71</v>
      </c>
      <c r="C5">
        <f>COUNTIF($B6:$B$18,"&gt;"&amp;B5)</f>
        <v>1</v>
      </c>
      <c r="D5">
        <f>COUNTIF($B6:$B$18,"&lt;"&amp;B5)</f>
        <v>12</v>
      </c>
      <c r="I5" t="s">
        <v>12</v>
      </c>
      <c r="N5" s="1" t="s">
        <v>13</v>
      </c>
      <c r="P5">
        <f>P4-2</f>
        <v>15</v>
      </c>
    </row>
    <row r="6" spans="1:20">
      <c r="A6">
        <v>185</v>
      </c>
      <c r="B6">
        <v>62</v>
      </c>
      <c r="C6">
        <f>COUNTIF($B7:$B$18,"&gt;"&amp;B6)</f>
        <v>7</v>
      </c>
      <c r="D6">
        <f>COUNTIF($B7:$B$18,"&lt;"&amp;B6)</f>
        <v>5</v>
      </c>
      <c r="I6" t="s">
        <v>14</v>
      </c>
      <c r="N6" s="1" t="s">
        <v>15</v>
      </c>
      <c r="P6">
        <f>SUM(F2:F18)</f>
        <v>0</v>
      </c>
    </row>
    <row r="7" spans="1:20">
      <c r="A7">
        <v>172</v>
      </c>
      <c r="B7">
        <v>60</v>
      </c>
      <c r="C7">
        <f>COUNTIF($B8:$B$18,"&gt;"&amp;B7)</f>
        <v>7</v>
      </c>
      <c r="D7">
        <f>COUNTIF($B8:$B$18,"&lt;"&amp;B7)</f>
        <v>3</v>
      </c>
      <c r="I7" t="s">
        <v>16</v>
      </c>
      <c r="O7" s="2" t="s">
        <v>17</v>
      </c>
      <c r="P7">
        <f xml:space="preserve"> 1- (6*P6)/P4/(P4-1)/(P4+1)</f>
        <v>1</v>
      </c>
      <c r="R7" s="2" t="s">
        <v>18</v>
      </c>
      <c r="S7">
        <f>CORREL(C2:C18,D2:D18)</f>
        <v>-0.13805677937097025</v>
      </c>
      <c r="T7" t="s">
        <v>19</v>
      </c>
    </row>
    <row r="8" spans="1:20">
      <c r="A8">
        <v>174</v>
      </c>
      <c r="B8">
        <v>68</v>
      </c>
      <c r="C8">
        <f>COUNTIF($B9:$B$18,"&gt;"&amp;B8)</f>
        <v>4</v>
      </c>
      <c r="D8">
        <f>COUNTIF($B9:$B$18,"&lt;"&amp;B8)</f>
        <v>5</v>
      </c>
    </row>
    <row r="9" spans="1:20">
      <c r="A9">
        <v>175</v>
      </c>
      <c r="B9">
        <v>52.5</v>
      </c>
      <c r="C9">
        <f>COUNTIF($B10:$B$18,"&gt;"&amp;B9)</f>
        <v>8</v>
      </c>
      <c r="D9">
        <f>COUNTIF($B10:$B$18,"&lt;"&amp;B9)</f>
        <v>1</v>
      </c>
    </row>
    <row r="10" spans="1:20">
      <c r="A10">
        <v>180</v>
      </c>
      <c r="B10">
        <v>93</v>
      </c>
      <c r="C10">
        <f>COUNTIF($B11:$B$18,"&gt;"&amp;B10)</f>
        <v>0</v>
      </c>
      <c r="D10">
        <f>COUNTIF($B11:$B$18,"&lt;"&amp;B10)</f>
        <v>8</v>
      </c>
      <c r="I10" t="s">
        <v>20</v>
      </c>
      <c r="N10" t="s">
        <v>21</v>
      </c>
      <c r="P10">
        <v>0.05</v>
      </c>
    </row>
    <row r="11" spans="1:20">
      <c r="A11">
        <v>161.5</v>
      </c>
      <c r="B11">
        <v>46</v>
      </c>
      <c r="C11">
        <f>COUNTIF($B12:$B$18,"&gt;"&amp;B11)</f>
        <v>7</v>
      </c>
      <c r="D11">
        <f>COUNTIF($B12:$B$18,"&lt;"&amp;B11)</f>
        <v>0</v>
      </c>
      <c r="I11" t="s">
        <v>22</v>
      </c>
      <c r="N11" t="s">
        <v>23</v>
      </c>
      <c r="P11">
        <f>TINV(P10, P5)</f>
        <v>2.1314495455597742</v>
      </c>
    </row>
    <row r="12" spans="1:20">
      <c r="A12">
        <v>178</v>
      </c>
      <c r="B12">
        <v>69</v>
      </c>
      <c r="C12">
        <f>COUNTIF($B13:$B$18,"&gt;"&amp;B12)</f>
        <v>2</v>
      </c>
      <c r="D12">
        <f>COUNTIF($B13:$B$18,"&lt;"&amp;B12)</f>
        <v>4</v>
      </c>
      <c r="I12" t="s">
        <v>24</v>
      </c>
      <c r="N12" s="2" t="s">
        <v>17</v>
      </c>
      <c r="P12">
        <f>P11*(POWER(((1-P7*P7)/P5),1/2))</f>
        <v>0</v>
      </c>
    </row>
    <row r="13" spans="1:20">
      <c r="A13">
        <v>180</v>
      </c>
      <c r="B13">
        <v>68</v>
      </c>
      <c r="C13">
        <f>COUNTIF($B14:$B$18,"&gt;"&amp;B13)</f>
        <v>2</v>
      </c>
      <c r="D13">
        <f>COUNTIF($B14:$B$18,"&lt;"&amp;B13)</f>
        <v>3</v>
      </c>
    </row>
    <row r="14" spans="1:20">
      <c r="A14">
        <v>165</v>
      </c>
      <c r="B14">
        <v>55</v>
      </c>
      <c r="C14">
        <f>COUNTIF($B15:$B$18,"&gt;"&amp;B14)</f>
        <v>4</v>
      </c>
      <c r="D14">
        <f>COUNTIF($B15:$B$18,"&lt;"&amp;B14)</f>
        <v>0</v>
      </c>
      <c r="I14" t="s">
        <v>25</v>
      </c>
      <c r="L14" t="s">
        <v>26</v>
      </c>
    </row>
    <row r="15" spans="1:20">
      <c r="A15">
        <v>170</v>
      </c>
      <c r="B15">
        <v>70</v>
      </c>
      <c r="C15">
        <f>COUNTIF($B16:$B$18,"&gt;"&amp;B15)</f>
        <v>0</v>
      </c>
      <c r="D15">
        <f>COUNTIF($B16:$B$18,"&lt;"&amp;B15)</f>
        <v>2</v>
      </c>
      <c r="K15" t="s">
        <v>27</v>
      </c>
    </row>
    <row r="16" spans="1:20">
      <c r="A16">
        <v>175</v>
      </c>
      <c r="B16">
        <v>70</v>
      </c>
      <c r="C16">
        <f>COUNTIF($B17:$B$18,"&gt;"&amp;B16)</f>
        <v>0</v>
      </c>
      <c r="D16">
        <f>COUNTIF($B17:$B$18,"&lt;"&amp;B16)</f>
        <v>2</v>
      </c>
    </row>
    <row r="17" spans="1:14">
      <c r="A17">
        <v>187</v>
      </c>
      <c r="B17">
        <v>64</v>
      </c>
      <c r="C17">
        <f>COUNTIF($B18:$B$18,"&gt;"&amp;B17)</f>
        <v>0</v>
      </c>
      <c r="D17">
        <f>COUNTIF($B18:$B$18,"&lt;"&amp;B17)</f>
        <v>1</v>
      </c>
      <c r="I17" t="s">
        <v>28</v>
      </c>
      <c r="N17" s="2" t="s">
        <v>29</v>
      </c>
    </row>
    <row r="18" spans="1:14">
      <c r="A18">
        <v>158</v>
      </c>
      <c r="B18">
        <v>60</v>
      </c>
      <c r="C18">
        <f>COUNTIF($B$18:$B19,"&gt;"&amp;B18)</f>
        <v>0</v>
      </c>
      <c r="D18">
        <f>COUNTIF($B$18:$B19,"&lt;"&amp;B18)</f>
        <v>0</v>
      </c>
      <c r="I18" t="s">
        <v>30</v>
      </c>
    </row>
    <row r="19" spans="1:14">
      <c r="I19" t="s">
        <v>31</v>
      </c>
    </row>
    <row r="20" spans="1:14">
      <c r="I20" t="s">
        <v>32</v>
      </c>
    </row>
    <row r="21" spans="1:14">
      <c r="I21" t="s">
        <v>33</v>
      </c>
    </row>
    <row r="22" spans="1:14">
      <c r="I22" t="s">
        <v>34</v>
      </c>
    </row>
    <row r="23" spans="1:14">
      <c r="I23" t="s">
        <v>35</v>
      </c>
    </row>
    <row r="24" spans="1:14">
      <c r="I24" t="s">
        <v>36</v>
      </c>
    </row>
    <row r="25" spans="1:14">
      <c r="I25" t="s">
        <v>37</v>
      </c>
      <c r="K25" t="s">
        <v>38</v>
      </c>
    </row>
    <row r="26" spans="1:14">
      <c r="I26" t="s">
        <v>39</v>
      </c>
    </row>
    <row r="28" spans="1:14">
      <c r="I28" t="s">
        <v>40</v>
      </c>
    </row>
    <row r="29" spans="1:14">
      <c r="I29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2026-04-19T21:49:40Z</dcterms:created>
  <dcterms:modified xsi:type="dcterms:W3CDTF">2026-04-27T08:43:19Z</dcterms:modified>
  <cp:category/>
  <cp:contentStatus/>
</cp:coreProperties>
</file>