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8 Semestr\Modelling\lab4\new_task\"/>
    </mc:Choice>
  </mc:AlternateContent>
  <bookViews>
    <workbookView xWindow="0" yWindow="0" windowWidth="28800" windowHeight="12435" activeTab="1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E18" i="2" l="1"/>
  <c r="D18" i="2"/>
  <c r="C18" i="2"/>
  <c r="J8" i="2" l="1"/>
  <c r="J7" i="2"/>
  <c r="J6" i="2"/>
  <c r="J5" i="2"/>
  <c r="J10" i="2" s="1"/>
  <c r="J12" i="2" s="1"/>
  <c r="J13" i="2" s="1"/>
  <c r="J15" i="2" s="1"/>
  <c r="J4" i="2"/>
  <c r="J3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  <c r="D18" i="1"/>
  <c r="C18" i="1"/>
  <c r="E18" i="1" s="1"/>
  <c r="F18" i="1" s="1"/>
  <c r="D17" i="1"/>
  <c r="C17" i="1"/>
  <c r="E17" i="1" s="1"/>
  <c r="F17" i="1" s="1"/>
  <c r="D16" i="1"/>
  <c r="C16" i="1"/>
  <c r="E16" i="1" s="1"/>
  <c r="F16" i="1" s="1"/>
  <c r="D15" i="1"/>
  <c r="C15" i="1"/>
  <c r="E15" i="1" s="1"/>
  <c r="F15" i="1" s="1"/>
  <c r="D14" i="1"/>
  <c r="C14" i="1"/>
  <c r="E14" i="1" s="1"/>
  <c r="F14" i="1" s="1"/>
  <c r="D13" i="1"/>
  <c r="C13" i="1"/>
  <c r="E13" i="1" s="1"/>
  <c r="F13" i="1" s="1"/>
  <c r="D12" i="1"/>
  <c r="E12" i="1" s="1"/>
  <c r="F12" i="1" s="1"/>
  <c r="C12" i="1"/>
  <c r="E11" i="1"/>
  <c r="F11" i="1" s="1"/>
  <c r="D11" i="1"/>
  <c r="C11" i="1"/>
  <c r="D10" i="1"/>
  <c r="E10" i="1" s="1"/>
  <c r="F10" i="1" s="1"/>
  <c r="C10" i="1"/>
  <c r="E9" i="1"/>
  <c r="F9" i="1" s="1"/>
  <c r="D9" i="1"/>
  <c r="C9" i="1"/>
  <c r="E8" i="1"/>
  <c r="F8" i="1" s="1"/>
  <c r="D8" i="1"/>
  <c r="C8" i="1"/>
  <c r="D7" i="1"/>
  <c r="C7" i="1"/>
  <c r="E7" i="1" s="1"/>
  <c r="F7" i="1" s="1"/>
  <c r="D6" i="1"/>
  <c r="C6" i="1"/>
  <c r="E6" i="1" s="1"/>
  <c r="F6" i="1" s="1"/>
  <c r="D5" i="1"/>
  <c r="P4" i="1" s="1"/>
  <c r="P5" i="1" s="1"/>
  <c r="P11" i="1" s="1"/>
  <c r="C5" i="1"/>
  <c r="D4" i="1"/>
  <c r="C4" i="1"/>
  <c r="E4" i="1" s="1"/>
  <c r="F4" i="1" s="1"/>
  <c r="D3" i="1"/>
  <c r="C3" i="1"/>
  <c r="E3" i="1" s="1"/>
  <c r="F3" i="1" s="1"/>
  <c r="E2" i="1"/>
  <c r="F2" i="1" s="1"/>
  <c r="D2" i="1"/>
  <c r="C2" i="1"/>
  <c r="S7" i="1" s="1"/>
  <c r="J9" i="2" l="1"/>
  <c r="E5" i="1"/>
  <c r="F5" i="1" s="1"/>
  <c r="P6" i="1" s="1"/>
  <c r="P7" i="1" s="1"/>
  <c r="P12" i="1" s="1"/>
</calcChain>
</file>

<file path=xl/sharedStrings.xml><?xml version="1.0" encoding="utf-8"?>
<sst xmlns="http://schemas.openxmlformats.org/spreadsheetml/2006/main" count="61" uniqueCount="57">
  <si>
    <t>Рост в см</t>
  </si>
  <si>
    <t>Вес в кг</t>
  </si>
  <si>
    <t>Ранг роста</t>
  </si>
  <si>
    <t>Ранг веса</t>
  </si>
  <si>
    <t>Разница рангов</t>
  </si>
  <si>
    <t>Квадрат разности рангов</t>
  </si>
  <si>
    <t>Нулевая гипотеза:</t>
  </si>
  <si>
    <t>Ранговая корреляционная  связь между признаками незначимая</t>
  </si>
  <si>
    <t xml:space="preserve">Альтернативная гипотеза: </t>
  </si>
  <si>
    <t>Ранговая корреляционная  связь между признаками значимая</t>
  </si>
  <si>
    <t>Число рангов</t>
  </si>
  <si>
    <t>n=</t>
  </si>
  <si>
    <t>Число степеней свободы</t>
  </si>
  <si>
    <t>k=n-2</t>
  </si>
  <si>
    <t>Сумма квадратов разности рангов</t>
  </si>
  <si>
    <t>S=</t>
  </si>
  <si>
    <t>Коэффициент ранговой корреляции Спирмена</t>
  </si>
  <si>
    <t>[1]</t>
  </si>
  <si>
    <t>(</t>
  </si>
  <si>
    <t>)</t>
  </si>
  <si>
    <t>Уровень значимости</t>
  </si>
  <si>
    <t>α=</t>
  </si>
  <si>
    <t>Критическая точка распределения Стьюдента</t>
  </si>
  <si>
    <t>t_кр (α,k)=</t>
  </si>
  <si>
    <t>Критическая точка</t>
  </si>
  <si>
    <t>Проверка:</t>
  </si>
  <si>
    <t xml:space="preserve"> - является основанием отвергнуть нулевую гипотезу о том, что ранговая корреляционная связь между признаками незначимая</t>
  </si>
  <si>
    <t>генерального коэффициента ранговой корреляции Спирмена</t>
  </si>
  <si>
    <t xml:space="preserve">Дополнительная проверка по таблице П10 </t>
  </si>
  <si>
    <t>[2]</t>
  </si>
  <si>
    <t>В таблице приведены верхние критические значения для коэффициента ранговой корреляции Спирмена по уровню значимости  альфа и объема выборки n: ro(alpha,n)</t>
  </si>
  <si>
    <t xml:space="preserve">Указывается, что нижние критические значения равны  - ro(alpha,n). Так как  при проверке нулевой гипотезы против двусторонней альтернативы </t>
  </si>
  <si>
    <t xml:space="preserve">(против предположения как отрицательной, так и положительной связи), величина ro(alpha,n) служит критическим значением уровня 2*alpha </t>
  </si>
  <si>
    <t>для коэффициента ранговой корреляции Спирмена, то есть если вычисленный коэффициент превышает по модулю полученное из П10 значение ro(0,025,17)= 0.485,</t>
  </si>
  <si>
    <t>то можно делать вывод о значимой связи по уровню значимости 0.05. Если проверяется гипотеза против правосторонней альтернативы, то</t>
  </si>
  <si>
    <t>из таблицы П10 выбирается значение ro(0,05,17)= 0.414. Коэффициент корреляции Спирмена  превышает и эту величину, что позволяет сделать вывод</t>
  </si>
  <si>
    <t>о наличии положительной связи признаков по уровню значимости 0.05</t>
  </si>
  <si>
    <t>Результат:</t>
  </si>
  <si>
    <t>Ранговая корреляционная  связь между признаками значимая  положительная по уровню значимости 0.05</t>
  </si>
  <si>
    <t>Список источников</t>
  </si>
  <si>
    <t>1. Гмурман В.Е. Теория вероятностей и математическая статистика: учеб. пособие. - 12-е изд., переработанное. -  М: Высшее образование, 2008. - 479 с., с илл.</t>
  </si>
  <si>
    <t>2. Тюрин Ю.Н, Макаров А. А. Анализ данных на компьютере: учеб. пособие. - Новое издание. -  М: Изд-во МЦМНО, 2026. - 368 с., с илл.</t>
  </si>
  <si>
    <t>C (соглас.)</t>
  </si>
  <si>
    <t>D (несогл.)</t>
  </si>
  <si>
    <t>T (связ.)</t>
  </si>
  <si>
    <t>Критерий Кендалла (tau)</t>
  </si>
  <si>
    <t>N0=n(n-1)/2</t>
  </si>
  <si>
    <t>Nc (соглас.)</t>
  </si>
  <si>
    <t>Nd (несогл.)</t>
  </si>
  <si>
    <t>T_x (связи по X)</t>
  </si>
  <si>
    <t>T_y (связи по Y)</t>
  </si>
  <si>
    <t>tau_a</t>
  </si>
  <si>
    <t>tau_b (с поправкой на связи)</t>
  </si>
  <si>
    <t>z (H0: tau=0)</t>
  </si>
  <si>
    <t>p-value (двуст.)</t>
  </si>
  <si>
    <t>α</t>
  </si>
  <si>
    <t>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</si>
</sst>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12</xdr:col>
      <xdr:colOff>485775</xdr:colOff>
      <xdr:row>12</xdr:row>
      <xdr:rowOff>47625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29500" y="2095500"/>
          <a:ext cx="1704975" cy="2381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14</xdr:col>
      <xdr:colOff>219075</xdr:colOff>
      <xdr:row>7</xdr:row>
      <xdr:rowOff>66675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258300" y="1143000"/>
          <a:ext cx="828675" cy="2571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19050</xdr:colOff>
      <xdr:row>14</xdr:row>
      <xdr:rowOff>19050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429500" y="2476500"/>
          <a:ext cx="628650" cy="2095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opLeftCell="A7" workbookViewId="0">
      <selection activeCell="N27" sqref="N27"/>
    </sheetView>
  </sheetViews>
  <sheetFormatPr defaultRowHeight="15" x14ac:dyDescent="0.25"/>
  <cols>
    <col min="3" max="4" width="14.28515625" customWidth="1"/>
    <col min="5" max="5" width="18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K1" t="s">
        <v>7</v>
      </c>
    </row>
    <row r="2" spans="1:20" x14ac:dyDescent="0.25">
      <c r="A2">
        <v>170</v>
      </c>
      <c r="B2">
        <v>62</v>
      </c>
      <c r="C2">
        <f t="shared" ref="C2:C18" si="0">_xlfn.RANK.AVG(A2,$A$2:$A$18)</f>
        <v>13.5</v>
      </c>
      <c r="D2">
        <f t="shared" ref="D2:D18" si="1">_xlfn.RANK.AVG(B2,$B$2:$B$18)</f>
        <v>11.5</v>
      </c>
      <c r="E2">
        <f t="shared" ref="E2:E18" si="2">C2-D2</f>
        <v>2</v>
      </c>
      <c r="F2">
        <f t="shared" ref="F2:F18" si="3">E2*E2</f>
        <v>4</v>
      </c>
      <c r="I2" t="s">
        <v>8</v>
      </c>
      <c r="L2" t="s">
        <v>9</v>
      </c>
    </row>
    <row r="3" spans="1:20" x14ac:dyDescent="0.25">
      <c r="A3">
        <v>190</v>
      </c>
      <c r="B3">
        <v>75</v>
      </c>
      <c r="C3">
        <f t="shared" si="0"/>
        <v>1</v>
      </c>
      <c r="D3">
        <f t="shared" si="1"/>
        <v>2</v>
      </c>
      <c r="E3">
        <f t="shared" si="2"/>
        <v>-1</v>
      </c>
      <c r="F3">
        <f t="shared" si="3"/>
        <v>1</v>
      </c>
    </row>
    <row r="4" spans="1:20" x14ac:dyDescent="0.25">
      <c r="A4">
        <v>175</v>
      </c>
      <c r="B4">
        <v>67</v>
      </c>
      <c r="C4">
        <f t="shared" si="0"/>
        <v>8</v>
      </c>
      <c r="D4">
        <f t="shared" si="1"/>
        <v>9</v>
      </c>
      <c r="E4">
        <f t="shared" si="2"/>
        <v>-1</v>
      </c>
      <c r="F4">
        <f t="shared" si="3"/>
        <v>1</v>
      </c>
      <c r="I4" t="s">
        <v>10</v>
      </c>
      <c r="N4" s="1" t="s">
        <v>11</v>
      </c>
      <c r="P4">
        <f>COUNTA(D2:D18)</f>
        <v>17</v>
      </c>
    </row>
    <row r="5" spans="1:20" x14ac:dyDescent="0.25">
      <c r="A5">
        <v>172</v>
      </c>
      <c r="B5">
        <v>71</v>
      </c>
      <c r="C5">
        <f t="shared" si="0"/>
        <v>11.5</v>
      </c>
      <c r="D5">
        <f t="shared" si="1"/>
        <v>3</v>
      </c>
      <c r="E5">
        <f t="shared" si="2"/>
        <v>8.5</v>
      </c>
      <c r="F5">
        <f t="shared" si="3"/>
        <v>72.25</v>
      </c>
      <c r="I5" t="s">
        <v>12</v>
      </c>
      <c r="N5" s="1" t="s">
        <v>13</v>
      </c>
      <c r="P5">
        <f>P4-2</f>
        <v>15</v>
      </c>
    </row>
    <row r="6" spans="1:20" x14ac:dyDescent="0.25">
      <c r="A6">
        <v>185</v>
      </c>
      <c r="B6">
        <v>62</v>
      </c>
      <c r="C6">
        <f t="shared" si="0"/>
        <v>3</v>
      </c>
      <c r="D6">
        <f t="shared" si="1"/>
        <v>11.5</v>
      </c>
      <c r="E6">
        <f t="shared" si="2"/>
        <v>-8.5</v>
      </c>
      <c r="F6">
        <f t="shared" si="3"/>
        <v>72.25</v>
      </c>
      <c r="I6" t="s">
        <v>14</v>
      </c>
      <c r="N6" s="1" t="s">
        <v>15</v>
      </c>
      <c r="P6">
        <f>SUM(F2:F18)</f>
        <v>416.5</v>
      </c>
    </row>
    <row r="7" spans="1:20" x14ac:dyDescent="0.25">
      <c r="A7">
        <v>172</v>
      </c>
      <c r="B7">
        <v>60</v>
      </c>
      <c r="C7">
        <f t="shared" si="0"/>
        <v>11.5</v>
      </c>
      <c r="D7">
        <f t="shared" si="1"/>
        <v>13.5</v>
      </c>
      <c r="E7">
        <f t="shared" si="2"/>
        <v>-2</v>
      </c>
      <c r="F7">
        <f t="shared" si="3"/>
        <v>4</v>
      </c>
      <c r="I7" t="s">
        <v>16</v>
      </c>
      <c r="O7" s="2" t="s">
        <v>17</v>
      </c>
      <c r="P7">
        <f>1- (6*P6)/P4/(P4-1)/(P4+1)</f>
        <v>0.48958333333333337</v>
      </c>
      <c r="R7" s="2" t="s">
        <v>18</v>
      </c>
      <c r="S7">
        <f>CORREL(C2:C18,D2:D18)</f>
        <v>0.48612051172293935</v>
      </c>
      <c r="T7" t="s">
        <v>19</v>
      </c>
    </row>
    <row r="8" spans="1:20" x14ac:dyDescent="0.25">
      <c r="A8">
        <v>174</v>
      </c>
      <c r="B8">
        <v>68</v>
      </c>
      <c r="C8">
        <f t="shared" si="0"/>
        <v>10</v>
      </c>
      <c r="D8">
        <f t="shared" si="1"/>
        <v>7.5</v>
      </c>
      <c r="E8">
        <f t="shared" si="2"/>
        <v>2.5</v>
      </c>
      <c r="F8">
        <f t="shared" si="3"/>
        <v>6.25</v>
      </c>
    </row>
    <row r="9" spans="1:20" x14ac:dyDescent="0.25">
      <c r="A9">
        <v>175</v>
      </c>
      <c r="B9">
        <v>52.5</v>
      </c>
      <c r="C9">
        <f t="shared" si="0"/>
        <v>8</v>
      </c>
      <c r="D9">
        <f t="shared" si="1"/>
        <v>16</v>
      </c>
      <c r="E9">
        <f t="shared" si="2"/>
        <v>-8</v>
      </c>
      <c r="F9">
        <f t="shared" si="3"/>
        <v>64</v>
      </c>
    </row>
    <row r="10" spans="1:20" x14ac:dyDescent="0.25">
      <c r="A10">
        <v>180</v>
      </c>
      <c r="B10">
        <v>93</v>
      </c>
      <c r="C10">
        <f t="shared" si="0"/>
        <v>4.5</v>
      </c>
      <c r="D10">
        <f t="shared" si="1"/>
        <v>1</v>
      </c>
      <c r="E10">
        <f t="shared" si="2"/>
        <v>3.5</v>
      </c>
      <c r="F10">
        <f t="shared" si="3"/>
        <v>12.25</v>
      </c>
      <c r="I10" t="s">
        <v>20</v>
      </c>
      <c r="N10" t="s">
        <v>21</v>
      </c>
      <c r="P10">
        <v>0.05</v>
      </c>
    </row>
    <row r="11" spans="1:20" x14ac:dyDescent="0.25">
      <c r="A11">
        <v>161.5</v>
      </c>
      <c r="B11">
        <v>46</v>
      </c>
      <c r="C11">
        <f t="shared" si="0"/>
        <v>16</v>
      </c>
      <c r="D11">
        <f t="shared" si="1"/>
        <v>17</v>
      </c>
      <c r="E11">
        <f t="shared" si="2"/>
        <v>-1</v>
      </c>
      <c r="F11">
        <f t="shared" si="3"/>
        <v>1</v>
      </c>
      <c r="I11" t="s">
        <v>22</v>
      </c>
      <c r="N11" t="s">
        <v>23</v>
      </c>
      <c r="P11">
        <f>TINV(P10, P5)</f>
        <v>2.1314495455597742</v>
      </c>
    </row>
    <row r="12" spans="1:20" x14ac:dyDescent="0.25">
      <c r="A12">
        <v>178</v>
      </c>
      <c r="B12">
        <v>69</v>
      </c>
      <c r="C12">
        <f t="shared" si="0"/>
        <v>6</v>
      </c>
      <c r="D12">
        <f t="shared" si="1"/>
        <v>6</v>
      </c>
      <c r="E12">
        <f t="shared" si="2"/>
        <v>0</v>
      </c>
      <c r="F12">
        <f t="shared" si="3"/>
        <v>0</v>
      </c>
      <c r="I12" t="s">
        <v>24</v>
      </c>
      <c r="N12" s="2" t="s">
        <v>17</v>
      </c>
      <c r="P12">
        <f>P11*(POWER(((1-P7*P7)/P5),1/2))</f>
        <v>0.47987072141012993</v>
      </c>
    </row>
    <row r="13" spans="1:20" x14ac:dyDescent="0.25">
      <c r="A13">
        <v>180</v>
      </c>
      <c r="B13">
        <v>68</v>
      </c>
      <c r="C13">
        <f t="shared" si="0"/>
        <v>4.5</v>
      </c>
      <c r="D13">
        <f t="shared" si="1"/>
        <v>7.5</v>
      </c>
      <c r="E13">
        <f t="shared" si="2"/>
        <v>-3</v>
      </c>
      <c r="F13">
        <f t="shared" si="3"/>
        <v>9</v>
      </c>
    </row>
    <row r="14" spans="1:20" x14ac:dyDescent="0.25">
      <c r="A14">
        <v>165</v>
      </c>
      <c r="B14">
        <v>55</v>
      </c>
      <c r="C14">
        <f t="shared" si="0"/>
        <v>15</v>
      </c>
      <c r="D14">
        <f t="shared" si="1"/>
        <v>15</v>
      </c>
      <c r="E14">
        <f t="shared" si="2"/>
        <v>0</v>
      </c>
      <c r="F14">
        <f t="shared" si="3"/>
        <v>0</v>
      </c>
      <c r="I14" t="s">
        <v>25</v>
      </c>
      <c r="L14" t="s">
        <v>26</v>
      </c>
    </row>
    <row r="15" spans="1:20" x14ac:dyDescent="0.25">
      <c r="A15">
        <v>170</v>
      </c>
      <c r="B15">
        <v>70</v>
      </c>
      <c r="C15">
        <f t="shared" si="0"/>
        <v>13.5</v>
      </c>
      <c r="D15">
        <f t="shared" si="1"/>
        <v>4.5</v>
      </c>
      <c r="E15">
        <f t="shared" si="2"/>
        <v>9</v>
      </c>
      <c r="F15">
        <f t="shared" si="3"/>
        <v>81</v>
      </c>
      <c r="K15" t="s">
        <v>27</v>
      </c>
    </row>
    <row r="16" spans="1:20" x14ac:dyDescent="0.25">
      <c r="A16">
        <v>175</v>
      </c>
      <c r="B16">
        <v>70</v>
      </c>
      <c r="C16">
        <f t="shared" si="0"/>
        <v>8</v>
      </c>
      <c r="D16">
        <f t="shared" si="1"/>
        <v>4.5</v>
      </c>
      <c r="E16">
        <f t="shared" si="2"/>
        <v>3.5</v>
      </c>
      <c r="F16">
        <f t="shared" si="3"/>
        <v>12.25</v>
      </c>
    </row>
    <row r="17" spans="1:14" x14ac:dyDescent="0.25">
      <c r="A17">
        <v>187</v>
      </c>
      <c r="B17">
        <v>64</v>
      </c>
      <c r="C17">
        <f t="shared" si="0"/>
        <v>2</v>
      </c>
      <c r="D17">
        <f t="shared" si="1"/>
        <v>10</v>
      </c>
      <c r="E17">
        <f t="shared" si="2"/>
        <v>-8</v>
      </c>
      <c r="F17">
        <f t="shared" si="3"/>
        <v>64</v>
      </c>
      <c r="I17" t="s">
        <v>28</v>
      </c>
      <c r="N17" s="2" t="s">
        <v>29</v>
      </c>
    </row>
    <row r="18" spans="1:14" x14ac:dyDescent="0.25">
      <c r="A18">
        <v>158</v>
      </c>
      <c r="B18">
        <v>60</v>
      </c>
      <c r="C18">
        <f t="shared" si="0"/>
        <v>17</v>
      </c>
      <c r="D18">
        <f t="shared" si="1"/>
        <v>13.5</v>
      </c>
      <c r="E18">
        <f t="shared" si="2"/>
        <v>3.5</v>
      </c>
      <c r="F18">
        <f t="shared" si="3"/>
        <v>12.25</v>
      </c>
      <c r="I18" t="s">
        <v>30</v>
      </c>
    </row>
    <row r="19" spans="1:14" x14ac:dyDescent="0.25">
      <c r="I19" t="s">
        <v>31</v>
      </c>
    </row>
    <row r="20" spans="1:14" x14ac:dyDescent="0.25">
      <c r="I20" t="s">
        <v>32</v>
      </c>
    </row>
    <row r="21" spans="1:14" x14ac:dyDescent="0.25">
      <c r="I21" t="s">
        <v>33</v>
      </c>
    </row>
    <row r="22" spans="1:14" x14ac:dyDescent="0.25">
      <c r="I22" t="s">
        <v>34</v>
      </c>
    </row>
    <row r="23" spans="1:14" x14ac:dyDescent="0.25">
      <c r="I23" t="s">
        <v>35</v>
      </c>
    </row>
    <row r="24" spans="1:14" x14ac:dyDescent="0.25">
      <c r="I24" t="s">
        <v>36</v>
      </c>
    </row>
    <row r="25" spans="1:14" x14ac:dyDescent="0.25">
      <c r="I25" t="s">
        <v>37</v>
      </c>
      <c r="K25" t="s">
        <v>38</v>
      </c>
    </row>
    <row r="26" spans="1:14" x14ac:dyDescent="0.25">
      <c r="I26" t="s">
        <v>39</v>
      </c>
    </row>
    <row r="28" spans="1:14" x14ac:dyDescent="0.25">
      <c r="I28" t="s">
        <v>40</v>
      </c>
    </row>
    <row r="29" spans="1:14" x14ac:dyDescent="0.25">
      <c r="I29" t="s">
        <v>41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F18" sqref="F18"/>
    </sheetView>
  </sheetViews>
  <sheetFormatPr defaultRowHeight="15" x14ac:dyDescent="0.25"/>
  <cols>
    <col min="1" max="2" width="10" customWidth="1"/>
    <col min="3" max="4" width="13" customWidth="1"/>
    <col min="5" max="5" width="10" customWidth="1"/>
    <col min="9" max="9" width="26" customWidth="1"/>
    <col min="10" max="10" width="32.5703125" customWidth="1"/>
  </cols>
  <sheetData>
    <row r="1" spans="1:10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I1" t="s">
        <v>45</v>
      </c>
    </row>
    <row r="2" spans="1:10" x14ac:dyDescent="0.25">
      <c r="A2">
        <v>158</v>
      </c>
      <c r="B2">
        <v>60</v>
      </c>
      <c r="C2">
        <f>SUMPRODUCT(--((($A$3:$A$18-A2)*($B$3:$B$18-B2))&gt;0))</f>
        <v>12</v>
      </c>
      <c r="D2">
        <f>SUMPRODUCT(--((($A$3:$A$18-A2)*($B$3:$B$18-B2))&lt;0))</f>
        <v>3</v>
      </c>
      <c r="E2">
        <f>SUMPRODUCT(--((($A$3:$A$18-A2)*($B$3:$B$18-B2))=0))</f>
        <v>1</v>
      </c>
    </row>
    <row r="3" spans="1:10" x14ac:dyDescent="0.25">
      <c r="A3">
        <v>161.5</v>
      </c>
      <c r="B3">
        <v>46</v>
      </c>
      <c r="C3">
        <f>SUMPRODUCT(--((($A$4:$A$18-A3)*($B$4:$B$18-B3))&gt;0))</f>
        <v>15</v>
      </c>
      <c r="D3">
        <f>SUMPRODUCT(--((($A$4:$A$18-A3)*($B$4:$B$18-B3))&lt;0))</f>
        <v>0</v>
      </c>
      <c r="E3">
        <f>SUMPRODUCT(--((($A$4:$A$18-A3)*($B$4:$B$18-B3))=0))</f>
        <v>0</v>
      </c>
      <c r="I3" t="s">
        <v>11</v>
      </c>
      <c r="J3">
        <f>COUNT(A2:A18)</f>
        <v>17</v>
      </c>
    </row>
    <row r="4" spans="1:10" x14ac:dyDescent="0.25">
      <c r="A4">
        <v>165</v>
      </c>
      <c r="B4">
        <v>55</v>
      </c>
      <c r="C4">
        <f>SUMPRODUCT(--((($A$5:$A$18-A4)*($B$5:$B$18-B4))&gt;0))</f>
        <v>13</v>
      </c>
      <c r="D4">
        <f>SUMPRODUCT(--((($A$5:$A$18-A4)*($B$5:$B$18-B4))&lt;0))</f>
        <v>1</v>
      </c>
      <c r="E4">
        <f>SUMPRODUCT(--((($A$5:$A$18-A4)*($B$5:$B$18-B4))=0))</f>
        <v>0</v>
      </c>
      <c r="I4" t="s">
        <v>46</v>
      </c>
      <c r="J4">
        <f>J3*(J3-1)/2</f>
        <v>136</v>
      </c>
    </row>
    <row r="5" spans="1:10" x14ac:dyDescent="0.25">
      <c r="A5">
        <v>170</v>
      </c>
      <c r="B5">
        <v>62</v>
      </c>
      <c r="C5">
        <f>SUMPRODUCT(--((($A$6:$A$18-A5)*($B$6:$B$18-B5))&gt;0))</f>
        <v>9</v>
      </c>
      <c r="D5">
        <f>SUMPRODUCT(--((($A$6:$A$18-A5)*($B$6:$B$18-B5))&lt;0))</f>
        <v>2</v>
      </c>
      <c r="E5">
        <f>SUMPRODUCT(--((($A$6:$A$18-A5)*($B$6:$B$18-B5))=0))</f>
        <v>2</v>
      </c>
      <c r="I5" t="s">
        <v>47</v>
      </c>
      <c r="J5">
        <f>SUM(C2:C18)</f>
        <v>85</v>
      </c>
    </row>
    <row r="6" spans="1:10" x14ac:dyDescent="0.25">
      <c r="A6">
        <v>170</v>
      </c>
      <c r="B6">
        <v>70</v>
      </c>
      <c r="C6">
        <f>SUMPRODUCT(--((($A$7:$A$18-A6)*($B$7:$B$18-B6))&gt;0))</f>
        <v>3</v>
      </c>
      <c r="D6">
        <f>SUMPRODUCT(--((($A$7:$A$18-A6)*($B$7:$B$18-B6))&lt;0))</f>
        <v>8</v>
      </c>
      <c r="E6">
        <f>SUMPRODUCT(--((($A$7:$A$18-A6)*($B$7:$B$18-B6))=0))</f>
        <v>1</v>
      </c>
      <c r="I6" t="s">
        <v>48</v>
      </c>
      <c r="J6">
        <f>SUM(D2:D18)</f>
        <v>41</v>
      </c>
    </row>
    <row r="7" spans="1:10" x14ac:dyDescent="0.25">
      <c r="A7">
        <v>172</v>
      </c>
      <c r="B7">
        <v>60</v>
      </c>
      <c r="C7">
        <f>SUMPRODUCT(--((($A$8:$A$18-A7)*($B$8:$B$18-B7))&gt;0))</f>
        <v>9</v>
      </c>
      <c r="D7">
        <f>SUMPRODUCT(--((($A$8:$A$18-A7)*($B$8:$B$18-B7))&lt;0))</f>
        <v>1</v>
      </c>
      <c r="E7">
        <f>SUMPRODUCT(--((($A$8:$A$18-A7)*($B$8:$B$18-B7))=0))</f>
        <v>1</v>
      </c>
      <c r="I7" t="s">
        <v>49</v>
      </c>
      <c r="J7">
        <f>SUMPRODUCT((COUNTIF(A2:A18,A2:A18)-1)/2)</f>
        <v>6</v>
      </c>
    </row>
    <row r="8" spans="1:10" x14ac:dyDescent="0.25">
      <c r="A8">
        <v>172</v>
      </c>
      <c r="B8">
        <v>71</v>
      </c>
      <c r="C8">
        <f>SUMPRODUCT(--((($A$9:$A$18-A8)*($B$9:$B$18-B8))&gt;0))</f>
        <v>2</v>
      </c>
      <c r="D8">
        <f>SUMPRODUCT(--((($A$9:$A$18-A8)*($B$9:$B$18-B8))&lt;0))</f>
        <v>8</v>
      </c>
      <c r="E8">
        <f>SUMPRODUCT(--((($A$9:$A$18-A8)*($B$9:$B$18-B8))=0))</f>
        <v>0</v>
      </c>
      <c r="I8" t="s">
        <v>50</v>
      </c>
      <c r="J8">
        <f>SUMPRODUCT((COUNTIF(B2:B18,B2:B18)-1)/2)</f>
        <v>4</v>
      </c>
    </row>
    <row r="9" spans="1:10" x14ac:dyDescent="0.25">
      <c r="A9">
        <v>174</v>
      </c>
      <c r="B9">
        <v>68</v>
      </c>
      <c r="C9">
        <f>SUMPRODUCT(--((($A$10:$A$18-A9)*($B$10:$B$18-B9))&gt;0))</f>
        <v>4</v>
      </c>
      <c r="D9">
        <f>SUMPRODUCT(--((($A$10:$A$18-A9)*($B$10:$B$18-B9))&lt;0))</f>
        <v>4</v>
      </c>
      <c r="E9">
        <f>SUMPRODUCT(--((($A$10:$A$18-A9)*($B$10:$B$18-B9))=0))</f>
        <v>1</v>
      </c>
      <c r="I9" t="s">
        <v>51</v>
      </c>
      <c r="J9">
        <f>(J5-J6)/J4</f>
        <v>0.3235294117647059</v>
      </c>
    </row>
    <row r="10" spans="1:10" x14ac:dyDescent="0.25">
      <c r="A10">
        <v>175</v>
      </c>
      <c r="B10">
        <v>52.5</v>
      </c>
      <c r="C10">
        <f>SUMPRODUCT(--((($A$11:$A$18-A10)*($B$11:$B$18-B10))&gt;0))</f>
        <v>6</v>
      </c>
      <c r="D10">
        <f>SUMPRODUCT(--((($A$11:$A$18-A10)*($B$11:$B$18-B10))&lt;0))</f>
        <v>0</v>
      </c>
      <c r="E10">
        <f>SUMPRODUCT(--((($A$11:$A$18-A10)*($B$11:$B$18-B10))=0))</f>
        <v>2</v>
      </c>
      <c r="I10" t="s">
        <v>52</v>
      </c>
      <c r="J10">
        <f>(J5-J6)/SQRT((J4-J7)*(J4-J8))</f>
        <v>0.3358876491038526</v>
      </c>
    </row>
    <row r="11" spans="1:10" x14ac:dyDescent="0.25">
      <c r="A11">
        <v>175</v>
      </c>
      <c r="B11">
        <v>67</v>
      </c>
      <c r="C11">
        <f>SUMPRODUCT(--((($A$12:$A$18-A11)*($B$12:$B$18-B11))&gt;0))</f>
        <v>4</v>
      </c>
      <c r="D11">
        <f>SUMPRODUCT(--((($A$12:$A$18-A11)*($B$12:$B$18-B11))&lt;0))</f>
        <v>2</v>
      </c>
      <c r="E11">
        <f>SUMPRODUCT(--((($A$12:$A$18-A11)*($B$12:$B$18-B11))=0))</f>
        <v>1</v>
      </c>
    </row>
    <row r="12" spans="1:10" x14ac:dyDescent="0.25">
      <c r="A12">
        <v>175</v>
      </c>
      <c r="B12">
        <v>70</v>
      </c>
      <c r="C12">
        <f>SUMPRODUCT(--((($A$13:$A$18-A12)*($B$13:$B$18-B12))&gt;0))</f>
        <v>2</v>
      </c>
      <c r="D12">
        <f>SUMPRODUCT(--((($A$13:$A$18-A12)*($B$13:$B$18-B12))&lt;0))</f>
        <v>4</v>
      </c>
      <c r="E12">
        <f>SUMPRODUCT(--((($A$13:$A$18-A12)*($B$13:$B$18-B12))=0))</f>
        <v>0</v>
      </c>
      <c r="I12" t="s">
        <v>53</v>
      </c>
      <c r="J12">
        <f>J10*SQRT(9*J3*(J3-1)/(2*(2*J3+5)))</f>
        <v>1.8817089047902344</v>
      </c>
    </row>
    <row r="13" spans="1:10" x14ac:dyDescent="0.25">
      <c r="A13">
        <v>178</v>
      </c>
      <c r="B13">
        <v>69</v>
      </c>
      <c r="C13">
        <f>SUMPRODUCT(--((($A$14:$A$18-A13)*($B$14:$B$18-B13))&gt;0))</f>
        <v>2</v>
      </c>
      <c r="D13">
        <f>SUMPRODUCT(--((($A$14:$A$18-A13)*($B$14:$B$18-B13))&lt;0))</f>
        <v>3</v>
      </c>
      <c r="E13">
        <f>SUMPRODUCT(--((($A$14:$A$18-A13)*($B$14:$B$18-B13))=0))</f>
        <v>0</v>
      </c>
      <c r="I13" t="s">
        <v>54</v>
      </c>
      <c r="J13">
        <f>2*(1-_xlfn.NORM.S.DIST(ABS(J12),TRUE))</f>
        <v>5.9875550028557045E-2</v>
      </c>
    </row>
    <row r="14" spans="1:10" x14ac:dyDescent="0.25">
      <c r="A14">
        <v>180</v>
      </c>
      <c r="B14">
        <v>68</v>
      </c>
      <c r="C14">
        <f>SUMPRODUCT(--((($A$15:$A$18-A14)*($B$15:$B$18-B14))&gt;0))</f>
        <v>1</v>
      </c>
      <c r="D14">
        <f>SUMPRODUCT(--((($A$15:$A$18-A14)*($B$15:$B$18-B14))&lt;0))</f>
        <v>2</v>
      </c>
      <c r="E14">
        <f>SUMPRODUCT(--((($A$15:$A$18-A14)*($B$15:$B$18-B14))=0))</f>
        <v>1</v>
      </c>
      <c r="I14" t="s">
        <v>55</v>
      </c>
      <c r="J14">
        <v>0.05</v>
      </c>
    </row>
    <row r="15" spans="1:10" x14ac:dyDescent="0.25">
      <c r="A15">
        <v>180</v>
      </c>
      <c r="B15">
        <v>93</v>
      </c>
      <c r="C15">
        <f>SUMPRODUCT(--((($A$16:$A$18-A15)*($B$16:$B$18-B15))&gt;0))</f>
        <v>0</v>
      </c>
      <c r="D15">
        <f>SUMPRODUCT(--((($A$16:$A$18-A15)*($B$16:$B$18-B15))&lt;0))</f>
        <v>3</v>
      </c>
      <c r="E15">
        <f>SUMPRODUCT(--((($A$16:$A$18-A15)*($B$16:$B$18-B15))=0))</f>
        <v>0</v>
      </c>
      <c r="I15" t="s">
        <v>56</v>
      </c>
      <c r="J15" t="str">
        <f>IF(J13&lt;J14,"отвергаем H0 (связь есть)","нет оснований отвергнуть H0")</f>
        <v>нет оснований отвергнуть H0</v>
      </c>
    </row>
    <row r="16" spans="1:10" x14ac:dyDescent="0.25">
      <c r="A16">
        <v>185</v>
      </c>
      <c r="B16">
        <v>62</v>
      </c>
      <c r="C16">
        <f>SUMPRODUCT(--((($A$17:$A$18-A16)*($B$17:$B$18-B16))&gt;0))</f>
        <v>2</v>
      </c>
      <c r="D16">
        <f>SUMPRODUCT(--((($A$17:$A$18-A16)*($B$17:$B$18-B16))&lt;0))</f>
        <v>0</v>
      </c>
      <c r="E16">
        <f>SUMPRODUCT(--((($A$17:$A$18-A16)*($B$17:$B$18-B16))=0))</f>
        <v>0</v>
      </c>
    </row>
    <row r="17" spans="1:5" x14ac:dyDescent="0.25">
      <c r="A17">
        <v>187</v>
      </c>
      <c r="B17">
        <v>64</v>
      </c>
      <c r="C17">
        <f>SUMPRODUCT(--((($A$18:$A$18-A17)*($B$18:$B$18-B17))&gt;0))</f>
        <v>1</v>
      </c>
      <c r="D17">
        <f>SUMPRODUCT(--((($A$18:$A$18-A17)*($B$18:$B$18-B17))&lt;0))</f>
        <v>0</v>
      </c>
      <c r="E17">
        <f>SUMPRODUCT(--((($A$18:$A$18-A17)*($B$18:$B$18-B17))=0))</f>
        <v>0</v>
      </c>
    </row>
    <row r="18" spans="1:5" x14ac:dyDescent="0.25">
      <c r="A18">
        <v>190</v>
      </c>
      <c r="B18">
        <v>75</v>
      </c>
      <c r="C18">
        <f>SUMPRODUCT(--((($A$18:$A$18-A18)*($B$18:$B$18-B18))&gt;0))</f>
        <v>0</v>
      </c>
      <c r="D18">
        <f>SUMPRODUCT(--((($A$18:$A$18-A18)*($B$18:$B$18-B18))&lt;0))</f>
        <v>0</v>
      </c>
      <c r="E18">
        <f>SUMPRODUCT(--((($A$18:$A$18-A18)*($B$18:$B$18-B18))=0))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2026-04-19T21:49:40Z</dcterms:created>
  <dcterms:modified xsi:type="dcterms:W3CDTF">2026-04-27T10:14:27Z</dcterms:modified>
</cp:coreProperties>
</file>